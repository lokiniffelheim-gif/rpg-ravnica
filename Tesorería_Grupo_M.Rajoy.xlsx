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225" windowWidth="14805" windowHeight="7890"/>
  </bookViews>
  <sheets>
    <sheet name="Tesorería M" sheetId="1" r:id="rId1"/>
    <sheet name="Tesorería Ezzio" sheetId="2" r:id="rId2"/>
  </sheets>
  <calcPr calcId="145621"/>
</workbook>
</file>

<file path=xl/calcChain.xml><?xml version="1.0" encoding="utf-8"?>
<calcChain xmlns="http://schemas.openxmlformats.org/spreadsheetml/2006/main">
  <c r="I2" i="1" l="1"/>
  <c r="H13" i="1" l="1"/>
  <c r="I13" i="1" s="1"/>
  <c r="J13" i="1" s="1"/>
  <c r="C13" i="1"/>
  <c r="H11" i="2" l="1"/>
  <c r="I11" i="2" s="1"/>
  <c r="H10" i="2"/>
  <c r="I10" i="2" s="1"/>
  <c r="H5" i="2"/>
  <c r="I5" i="2" s="1"/>
  <c r="H4" i="2"/>
  <c r="I4" i="2" s="1"/>
  <c r="H3" i="2"/>
  <c r="I3" i="2" s="1"/>
  <c r="H12" i="1"/>
  <c r="I12" i="1" s="1"/>
  <c r="J12" i="1" s="1"/>
  <c r="H11" i="1"/>
  <c r="I11" i="1" s="1"/>
  <c r="J11" i="1" s="1"/>
  <c r="H6" i="1"/>
  <c r="I6" i="1" s="1"/>
  <c r="J6" i="1" s="1"/>
  <c r="H4" i="1"/>
  <c r="H5" i="1"/>
  <c r="H2" i="1" l="1"/>
  <c r="I1" i="2"/>
  <c r="H1" i="2"/>
  <c r="I5" i="1"/>
  <c r="J5" i="1" s="1"/>
  <c r="I4" i="1"/>
  <c r="J4" i="1" l="1"/>
  <c r="J1" i="1"/>
</calcChain>
</file>

<file path=xl/sharedStrings.xml><?xml version="1.0" encoding="utf-8"?>
<sst xmlns="http://schemas.openxmlformats.org/spreadsheetml/2006/main" count="32" uniqueCount="18">
  <si>
    <t>Total en Oro</t>
  </si>
  <si>
    <t>Orzov</t>
  </si>
  <si>
    <t>Azorius</t>
  </si>
  <si>
    <t>CASH</t>
  </si>
  <si>
    <t>COBRE</t>
  </si>
  <si>
    <t>PLATINO</t>
  </si>
  <si>
    <t>ORO</t>
  </si>
  <si>
    <t>ELECTRO</t>
  </si>
  <si>
    <t>PLATA</t>
  </si>
  <si>
    <t>Total en Cobre</t>
  </si>
  <si>
    <t>Boros</t>
  </si>
  <si>
    <t>Zinos</t>
  </si>
  <si>
    <t>MERCADERÍAS</t>
  </si>
  <si>
    <t>Estatuíllas Huesox3</t>
  </si>
  <si>
    <t>Turquesasx8</t>
  </si>
  <si>
    <t>TOTAL</t>
  </si>
  <si>
    <t>Por Cabeza</t>
  </si>
  <si>
    <t>9 Circonitas (50 gp)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</si>
</sst>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\ &quot;€&quot;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</fills>
  <borders count="8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2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1" fillId="4" borderId="2" applyNumberFormat="0" applyFont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1" fillId="7" borderId="0" applyNumberFormat="0" applyBorder="0" applyAlignment="0" applyProtection="0"/>
    <xf numFmtId="0" fontId="4" fillId="8" borderId="0" applyNumberFormat="0" applyBorder="0" applyAlignment="0" applyProtection="0"/>
    <xf numFmtId="0" fontId="1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1" fillId="12" borderId="0" applyNumberFormat="0" applyBorder="0" applyAlignment="0" applyProtection="0"/>
  </cellStyleXfs>
  <cellXfs count="18">
    <xf numFmtId="0" fontId="0" fillId="0" borderId="0" xfId="0"/>
    <xf numFmtId="0" fontId="4" fillId="10" borderId="3" xfId="9" applyBorder="1"/>
    <xf numFmtId="0" fontId="2" fillId="2" borderId="3" xfId="1" applyBorder="1"/>
    <xf numFmtId="0" fontId="1" fillId="9" borderId="3" xfId="8" applyBorder="1"/>
    <xf numFmtId="0" fontId="4" fillId="6" borderId="3" xfId="5" applyBorder="1"/>
    <xf numFmtId="0" fontId="4" fillId="11" borderId="3" xfId="10" applyBorder="1"/>
    <xf numFmtId="0" fontId="3" fillId="5" borderId="3" xfId="4" applyFont="1" applyBorder="1"/>
    <xf numFmtId="0" fontId="3" fillId="3" borderId="3" xfId="2" applyBorder="1"/>
    <xf numFmtId="0" fontId="3" fillId="8" borderId="3" xfId="7" applyFont="1" applyBorder="1"/>
    <xf numFmtId="0" fontId="0" fillId="7" borderId="3" xfId="6" applyFont="1" applyBorder="1"/>
    <xf numFmtId="164" fontId="0" fillId="0" borderId="0" xfId="0" applyNumberFormat="1"/>
    <xf numFmtId="0" fontId="3" fillId="3" borderId="4" xfId="2" applyBorder="1"/>
    <xf numFmtId="0" fontId="1" fillId="12" borderId="6" xfId="11" applyBorder="1"/>
    <xf numFmtId="0" fontId="0" fillId="4" borderId="6" xfId="3" applyFont="1" applyBorder="1"/>
    <xf numFmtId="164" fontId="0" fillId="0" borderId="7" xfId="0" applyNumberFormat="1" applyBorder="1"/>
    <xf numFmtId="164" fontId="0" fillId="0" borderId="5" xfId="0" applyNumberFormat="1" applyBorder="1"/>
    <xf numFmtId="0" fontId="6" fillId="0" borderId="0" xfId="0" applyFont="1"/>
    <xf numFmtId="164" fontId="5" fillId="0" borderId="0" xfId="0" applyNumberFormat="1" applyFont="1"/>
  </cellXfs>
  <cellStyles count="12">
    <cellStyle name="40% - Énfasis2" xfId="6" builtinId="35"/>
    <cellStyle name="40% - Énfasis3" xfId="8" builtinId="39"/>
    <cellStyle name="40% - Énfasis6" xfId="11" builtinId="51"/>
    <cellStyle name="60% - Énfasis1" xfId="5" builtinId="32"/>
    <cellStyle name="60% - Énfasis2" xfId="7" builtinId="36"/>
    <cellStyle name="60% - Énfasis4" xfId="9" builtinId="44"/>
    <cellStyle name="Celda de comprobación" xfId="2" builtinId="23"/>
    <cellStyle name="Énfasis1" xfId="4" builtinId="29"/>
    <cellStyle name="Énfasis6" xfId="10" builtinId="49"/>
    <cellStyle name="Neutral" xfId="1" builtinId="28"/>
    <cellStyle name="Normal" xfId="0" builtinId="0"/>
    <cellStyle name="Notas" xfId="3" builtinId="1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tabSelected="1" workbookViewId="0">
      <selection activeCell="L9" sqref="L9"/>
    </sheetView>
  </sheetViews>
  <sheetFormatPr baseColWidth="10" defaultColWidth="9.140625" defaultRowHeight="15" x14ac:dyDescent="0.25"/>
  <cols>
    <col min="1" max="1" width="20.42578125" customWidth="1"/>
    <col min="2" max="2" width="13.140625" customWidth="1"/>
    <col min="3" max="3" width="7.42578125" customWidth="1"/>
    <col min="8" max="8" width="15" customWidth="1"/>
    <col min="9" max="9" width="12.42578125" customWidth="1"/>
    <col min="10" max="10" width="10.7109375" customWidth="1"/>
  </cols>
  <sheetData>
    <row r="1" spans="1:11" ht="15.75" thickBot="1" x14ac:dyDescent="0.3">
      <c r="J1" s="17">
        <f>I2/K2</f>
        <v>614.14</v>
      </c>
    </row>
    <row r="2" spans="1:11" ht="16.5" thickTop="1" thickBot="1" x14ac:dyDescent="0.3">
      <c r="A2" t="s">
        <v>3</v>
      </c>
      <c r="B2">
        <v>1000</v>
      </c>
      <c r="C2">
        <v>100</v>
      </c>
      <c r="D2">
        <v>50</v>
      </c>
      <c r="E2">
        <v>25</v>
      </c>
      <c r="F2">
        <v>5</v>
      </c>
      <c r="G2">
        <v>1</v>
      </c>
      <c r="H2">
        <f>H4+H5+H6+H11+H12</f>
        <v>77828</v>
      </c>
      <c r="I2" s="15">
        <f>I4+I5+I6+I11+I12+I13</f>
        <v>1228.28</v>
      </c>
      <c r="J2" s="11" t="s">
        <v>15</v>
      </c>
      <c r="K2">
        <v>2</v>
      </c>
    </row>
    <row r="3" spans="1:11" x14ac:dyDescent="0.25">
      <c r="B3" s="1" t="s">
        <v>5</v>
      </c>
      <c r="C3" s="2" t="s">
        <v>6</v>
      </c>
      <c r="D3" s="3" t="s">
        <v>7</v>
      </c>
      <c r="E3" s="4" t="s">
        <v>8</v>
      </c>
      <c r="F3" s="9" t="s">
        <v>11</v>
      </c>
      <c r="G3" s="5" t="s">
        <v>4</v>
      </c>
      <c r="H3" s="12" t="s">
        <v>9</v>
      </c>
      <c r="I3" s="13" t="s">
        <v>0</v>
      </c>
      <c r="J3" t="s">
        <v>16</v>
      </c>
    </row>
    <row r="4" spans="1:11" x14ac:dyDescent="0.25">
      <c r="A4" s="6" t="s">
        <v>2</v>
      </c>
      <c r="C4">
        <v>60</v>
      </c>
      <c r="D4">
        <v>695</v>
      </c>
      <c r="H4">
        <f>G4+F4*5+E4*25+D4*50+C4*100+B4*1000</f>
        <v>40750</v>
      </c>
      <c r="I4" s="10">
        <f>H4/100</f>
        <v>407.5</v>
      </c>
      <c r="J4" s="10">
        <f>I4/K2</f>
        <v>203.75</v>
      </c>
    </row>
    <row r="5" spans="1:11" x14ac:dyDescent="0.25">
      <c r="A5" s="7" t="s">
        <v>1</v>
      </c>
      <c r="H5">
        <f>G5+F5*5+E5*25+D5*50+C5*100+B5*1000</f>
        <v>0</v>
      </c>
      <c r="I5" s="10">
        <f>H5/100</f>
        <v>0</v>
      </c>
      <c r="J5" s="10">
        <f>I5/K2</f>
        <v>0</v>
      </c>
    </row>
    <row r="6" spans="1:11" x14ac:dyDescent="0.25">
      <c r="A6" s="8" t="s">
        <v>10</v>
      </c>
      <c r="C6">
        <v>214</v>
      </c>
      <c r="E6">
        <v>6</v>
      </c>
      <c r="G6">
        <v>28</v>
      </c>
      <c r="H6">
        <f>G6+F6*5+E6*25+D6*50+C6*100+B6*1000</f>
        <v>21578</v>
      </c>
      <c r="I6" s="10">
        <f>H6/100</f>
        <v>215.78</v>
      </c>
      <c r="J6" s="10">
        <f>I6/K2</f>
        <v>107.89</v>
      </c>
    </row>
    <row r="7" spans="1:11" x14ac:dyDescent="0.25">
      <c r="I7" s="10"/>
    </row>
    <row r="8" spans="1:11" x14ac:dyDescent="0.25">
      <c r="I8" s="10"/>
    </row>
    <row r="9" spans="1:11" x14ac:dyDescent="0.25">
      <c r="I9" s="10"/>
    </row>
    <row r="10" spans="1:11" x14ac:dyDescent="0.25">
      <c r="A10" t="s">
        <v>12</v>
      </c>
      <c r="I10" s="10"/>
    </row>
    <row r="11" spans="1:11" x14ac:dyDescent="0.25">
      <c r="A11" t="s">
        <v>13</v>
      </c>
      <c r="C11">
        <v>75</v>
      </c>
      <c r="H11">
        <f t="shared" ref="H11:H13" si="0">G11+F11*5+E11*25+D11*50+C11*100+B11*1000</f>
        <v>7500</v>
      </c>
      <c r="I11" s="10">
        <f t="shared" ref="I11:I13" si="1">H11/100</f>
        <v>75</v>
      </c>
      <c r="J11" s="10">
        <f>I11/K2</f>
        <v>37.5</v>
      </c>
    </row>
    <row r="12" spans="1:11" x14ac:dyDescent="0.25">
      <c r="A12" t="s">
        <v>14</v>
      </c>
      <c r="C12">
        <v>80</v>
      </c>
      <c r="H12">
        <f t="shared" si="0"/>
        <v>8000</v>
      </c>
      <c r="I12" s="10">
        <f t="shared" si="1"/>
        <v>80</v>
      </c>
      <c r="J12" s="10">
        <f>I12/K2</f>
        <v>40</v>
      </c>
    </row>
    <row r="13" spans="1:11" ht="15.75" x14ac:dyDescent="0.25">
      <c r="A13" s="16" t="s">
        <v>17</v>
      </c>
      <c r="C13">
        <f>50*9</f>
        <v>450</v>
      </c>
      <c r="H13">
        <f t="shared" si="0"/>
        <v>45000</v>
      </c>
      <c r="I13" s="10">
        <f t="shared" si="1"/>
        <v>450</v>
      </c>
      <c r="J13" s="10">
        <f>I13/K2</f>
        <v>225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selection activeCell="F18" sqref="F18"/>
    </sheetView>
  </sheetViews>
  <sheetFormatPr baseColWidth="10" defaultRowHeight="15" x14ac:dyDescent="0.25"/>
  <cols>
    <col min="8" max="8" width="14.5703125" customWidth="1"/>
    <col min="9" max="9" width="14.42578125" customWidth="1"/>
  </cols>
  <sheetData>
    <row r="1" spans="1:10" ht="16.5" thickTop="1" thickBot="1" x14ac:dyDescent="0.3">
      <c r="A1" t="s">
        <v>3</v>
      </c>
      <c r="B1">
        <v>1000</v>
      </c>
      <c r="C1">
        <v>100</v>
      </c>
      <c r="D1">
        <v>50</v>
      </c>
      <c r="E1">
        <v>25</v>
      </c>
      <c r="F1">
        <v>5</v>
      </c>
      <c r="G1">
        <v>1</v>
      </c>
      <c r="H1" s="14">
        <f>H3+H4+H5+H10+H11</f>
        <v>1000</v>
      </c>
      <c r="I1" s="15">
        <f>I3+I4+I5+I10+I11</f>
        <v>10</v>
      </c>
      <c r="J1" s="11" t="s">
        <v>15</v>
      </c>
    </row>
    <row r="2" spans="1:10" x14ac:dyDescent="0.25">
      <c r="B2" s="1" t="s">
        <v>5</v>
      </c>
      <c r="C2" s="2" t="s">
        <v>6</v>
      </c>
      <c r="D2" s="3" t="s">
        <v>7</v>
      </c>
      <c r="E2" s="4" t="s">
        <v>8</v>
      </c>
      <c r="F2" s="9" t="s">
        <v>11</v>
      </c>
      <c r="G2" s="5" t="s">
        <v>4</v>
      </c>
      <c r="H2" s="12" t="s">
        <v>9</v>
      </c>
      <c r="I2" s="13" t="s">
        <v>0</v>
      </c>
    </row>
    <row r="3" spans="1:10" x14ac:dyDescent="0.25">
      <c r="A3" s="6" t="s">
        <v>2</v>
      </c>
      <c r="H3">
        <f>G3+F3*5+E3*25+D3*50+C3*100+B3*1000</f>
        <v>0</v>
      </c>
      <c r="I3" s="10">
        <f>H3/100</f>
        <v>0</v>
      </c>
    </row>
    <row r="4" spans="1:10" x14ac:dyDescent="0.25">
      <c r="A4" s="7" t="s">
        <v>1</v>
      </c>
      <c r="B4">
        <v>1</v>
      </c>
      <c r="H4">
        <f>G4+F4*5+E4*25+D4*50+C4*100+B4*1000</f>
        <v>1000</v>
      </c>
      <c r="I4" s="10">
        <f>H4/100</f>
        <v>10</v>
      </c>
    </row>
    <row r="5" spans="1:10" x14ac:dyDescent="0.25">
      <c r="A5" s="8" t="s">
        <v>10</v>
      </c>
      <c r="H5">
        <f>G5+F5*5+E5*25+D5*50+C5*100+B5*1000</f>
        <v>0</v>
      </c>
      <c r="I5" s="10">
        <f>H5/100</f>
        <v>0</v>
      </c>
    </row>
    <row r="6" spans="1:10" x14ac:dyDescent="0.25">
      <c r="I6" s="10"/>
    </row>
    <row r="7" spans="1:10" x14ac:dyDescent="0.25">
      <c r="I7" s="10"/>
    </row>
    <row r="8" spans="1:10" x14ac:dyDescent="0.25">
      <c r="I8" s="10"/>
    </row>
    <row r="9" spans="1:10" x14ac:dyDescent="0.25">
      <c r="A9" t="s">
        <v>12</v>
      </c>
      <c r="I9" s="10"/>
    </row>
    <row r="10" spans="1:10" x14ac:dyDescent="0.25">
      <c r="H10">
        <f t="shared" ref="H10:H11" si="0">G10+F10*5+E10*25+D10*50+C10*100+B10*1000</f>
        <v>0</v>
      </c>
      <c r="I10" s="10">
        <f t="shared" ref="I10:I11" si="1">H10/100</f>
        <v>0</v>
      </c>
    </row>
    <row r="11" spans="1:10" x14ac:dyDescent="0.25">
      <c r="H11">
        <f t="shared" si="0"/>
        <v>0</v>
      </c>
      <c r="I11" s="10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Tesorería M</vt:lpstr>
      <vt:lpstr>Tesorería Ezzio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2020-05-14T22:17:08Z</dcterms:modified>
</cp:coreProperties>
</file>